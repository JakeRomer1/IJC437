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UDATA08.shef.ac.uk\home\ij\ijp25jar\ManW10\Desktop\Masters Shite\Intro\R\Spreadsheets\"/>
    </mc:Choice>
  </mc:AlternateContent>
  <xr:revisionPtr revIDLastSave="0" documentId="13_ncr:1_{7BDB65F5-4E96-421D-970A-EA152D7494E1}" xr6:coauthVersionLast="47" xr6:coauthVersionMax="47" xr10:uidLastSave="{00000000-0000-0000-0000-000000000000}"/>
  <bookViews>
    <workbookView xWindow="-105" yWindow="1155" windowWidth="14610" windowHeight="14430" xr2:uid="{D5CBF8B8-3820-4B17-BDFF-3DB07533E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" i="1" l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L11" i="1"/>
  <c r="M11" i="1"/>
  <c r="N11" i="1"/>
  <c r="Q11" i="1"/>
  <c r="R11" i="1"/>
  <c r="S11" i="1"/>
  <c r="T11" i="1"/>
  <c r="U11" i="1"/>
  <c r="U21" i="1"/>
  <c r="T21" i="1"/>
  <c r="S21" i="1"/>
  <c r="R21" i="1"/>
  <c r="Q21" i="1"/>
  <c r="N21" i="1"/>
  <c r="M21" i="1"/>
  <c r="L21" i="1"/>
  <c r="K21" i="1"/>
  <c r="J21" i="1"/>
  <c r="I21" i="1"/>
  <c r="U20" i="1"/>
  <c r="T20" i="1"/>
  <c r="S20" i="1"/>
  <c r="R20" i="1"/>
  <c r="Q20" i="1"/>
  <c r="N20" i="1"/>
  <c r="M20" i="1"/>
  <c r="L20" i="1"/>
  <c r="K20" i="1"/>
  <c r="J20" i="1"/>
  <c r="I20" i="1"/>
  <c r="U19" i="1"/>
  <c r="T19" i="1"/>
  <c r="S19" i="1"/>
  <c r="R19" i="1"/>
  <c r="Q19" i="1"/>
  <c r="N19" i="1"/>
  <c r="M19" i="1"/>
  <c r="L19" i="1"/>
  <c r="K19" i="1"/>
  <c r="J19" i="1"/>
  <c r="I19" i="1"/>
  <c r="U18" i="1"/>
  <c r="T18" i="1"/>
  <c r="S18" i="1"/>
  <c r="R18" i="1"/>
  <c r="Q18" i="1"/>
  <c r="N18" i="1"/>
  <c r="M18" i="1"/>
  <c r="L18" i="1"/>
  <c r="K18" i="1"/>
  <c r="J18" i="1"/>
  <c r="I18" i="1"/>
  <c r="U17" i="1"/>
  <c r="T17" i="1"/>
  <c r="S17" i="1"/>
  <c r="R17" i="1"/>
  <c r="Q17" i="1"/>
  <c r="N17" i="1"/>
  <c r="M17" i="1"/>
  <c r="L17" i="1"/>
  <c r="K17" i="1"/>
  <c r="J17" i="1"/>
  <c r="I17" i="1"/>
  <c r="U16" i="1"/>
  <c r="T16" i="1"/>
  <c r="S16" i="1"/>
  <c r="R16" i="1"/>
  <c r="Q16" i="1"/>
  <c r="N16" i="1"/>
  <c r="M16" i="1"/>
  <c r="L16" i="1"/>
  <c r="K16" i="1"/>
  <c r="J16" i="1"/>
  <c r="I16" i="1"/>
  <c r="U15" i="1"/>
  <c r="T15" i="1"/>
  <c r="S15" i="1"/>
  <c r="R15" i="1"/>
  <c r="Q15" i="1"/>
  <c r="N15" i="1"/>
  <c r="M15" i="1"/>
  <c r="L15" i="1"/>
  <c r="K15" i="1"/>
  <c r="J15" i="1"/>
  <c r="I15" i="1"/>
  <c r="U14" i="1"/>
  <c r="T14" i="1"/>
  <c r="S14" i="1"/>
  <c r="R14" i="1"/>
  <c r="Q14" i="1"/>
  <c r="N14" i="1"/>
  <c r="M14" i="1"/>
  <c r="L14" i="1"/>
  <c r="K14" i="1"/>
  <c r="J14" i="1"/>
  <c r="I14" i="1"/>
  <c r="U13" i="1"/>
  <c r="T13" i="1"/>
  <c r="S13" i="1"/>
  <c r="R13" i="1"/>
  <c r="Q13" i="1"/>
  <c r="N13" i="1"/>
  <c r="M13" i="1"/>
  <c r="L13" i="1"/>
  <c r="K13" i="1"/>
  <c r="J13" i="1"/>
  <c r="I13" i="1"/>
  <c r="U12" i="1"/>
  <c r="T12" i="1"/>
  <c r="S12" i="1"/>
  <c r="R12" i="1"/>
  <c r="Q12" i="1"/>
  <c r="N12" i="1"/>
  <c r="M12" i="1"/>
  <c r="L12" i="1"/>
  <c r="K12" i="1"/>
  <c r="J12" i="1"/>
  <c r="I12" i="1"/>
  <c r="K11" i="1"/>
  <c r="J11" i="1"/>
  <c r="I11" i="1"/>
  <c r="U10" i="1"/>
  <c r="T10" i="1"/>
  <c r="S10" i="1"/>
  <c r="R10" i="1"/>
  <c r="Q10" i="1"/>
  <c r="N10" i="1"/>
  <c r="M10" i="1"/>
  <c r="L10" i="1"/>
  <c r="K10" i="1"/>
  <c r="J10" i="1"/>
  <c r="I10" i="1"/>
  <c r="U9" i="1"/>
  <c r="T9" i="1"/>
  <c r="S9" i="1"/>
  <c r="R9" i="1"/>
  <c r="Q9" i="1"/>
  <c r="N9" i="1"/>
  <c r="M9" i="1"/>
  <c r="L9" i="1"/>
  <c r="K9" i="1"/>
  <c r="J9" i="1"/>
  <c r="I9" i="1"/>
  <c r="U8" i="1"/>
  <c r="T8" i="1"/>
  <c r="S8" i="1"/>
  <c r="R8" i="1"/>
  <c r="Q8" i="1"/>
  <c r="N8" i="1"/>
  <c r="M8" i="1"/>
  <c r="L8" i="1"/>
  <c r="K8" i="1"/>
  <c r="J8" i="1"/>
  <c r="I8" i="1"/>
  <c r="U7" i="1"/>
  <c r="T7" i="1"/>
  <c r="S7" i="1"/>
  <c r="R7" i="1"/>
  <c r="Q7" i="1"/>
  <c r="N7" i="1"/>
  <c r="M7" i="1"/>
  <c r="L7" i="1"/>
  <c r="K7" i="1"/>
  <c r="J7" i="1"/>
  <c r="I7" i="1"/>
  <c r="U6" i="1"/>
  <c r="T6" i="1"/>
  <c r="S6" i="1"/>
  <c r="R6" i="1"/>
  <c r="Q6" i="1"/>
  <c r="N6" i="1"/>
  <c r="M6" i="1"/>
  <c r="L6" i="1"/>
  <c r="K6" i="1"/>
  <c r="J6" i="1"/>
  <c r="I6" i="1"/>
  <c r="U5" i="1"/>
  <c r="T5" i="1"/>
  <c r="S5" i="1"/>
  <c r="R5" i="1"/>
  <c r="Q5" i="1"/>
  <c r="N5" i="1"/>
  <c r="M5" i="1"/>
  <c r="L5" i="1"/>
  <c r="K5" i="1"/>
  <c r="J5" i="1"/>
  <c r="I5" i="1"/>
  <c r="U4" i="1"/>
  <c r="T4" i="1"/>
  <c r="S4" i="1"/>
  <c r="R4" i="1"/>
  <c r="Q4" i="1"/>
  <c r="N4" i="1"/>
  <c r="M4" i="1"/>
  <c r="L4" i="1"/>
  <c r="K4" i="1"/>
  <c r="J4" i="1"/>
  <c r="I4" i="1"/>
  <c r="U3" i="1"/>
  <c r="T3" i="1"/>
  <c r="S3" i="1"/>
  <c r="R3" i="1"/>
  <c r="Q3" i="1"/>
  <c r="N3" i="1"/>
  <c r="M3" i="1"/>
  <c r="L3" i="1"/>
  <c r="K3" i="1"/>
  <c r="J3" i="1"/>
  <c r="I3" i="1"/>
  <c r="U2" i="1"/>
  <c r="T2" i="1"/>
  <c r="S2" i="1"/>
  <c r="R2" i="1"/>
  <c r="Q2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<sst xmlns="http://schemas.openxmlformats.org/spreadsheetml/2006/main" count="50" uniqueCount="50">
  <si>
    <t>Operator</t>
  </si>
  <si>
    <t>FTE_employees</t>
  </si>
  <si>
    <t>KMs_of_operation</t>
  </si>
  <si>
    <t>Number_of_passenger_journeys</t>
  </si>
  <si>
    <t>Number_of_KMs_passengers_travelled</t>
  </si>
  <si>
    <t>KMs_travelled_with_passengers</t>
  </si>
  <si>
    <t>Number_of_trains</t>
  </si>
  <si>
    <t>On_time_percentage</t>
  </si>
  <si>
    <t>FTE_Employees_per_KM</t>
  </si>
  <si>
    <t>Trains_per_FTE_Employee</t>
  </si>
  <si>
    <t>Number_of_KMs_per_passenger_journey</t>
  </si>
  <si>
    <t>Number_of_passengers_per_train</t>
  </si>
  <si>
    <t>Number_of_KMs_passengers_travelled_per_train</t>
  </si>
  <si>
    <t>Trains_per_KM_of_operation</t>
  </si>
  <si>
    <t>Delay_Claims_Received</t>
  </si>
  <si>
    <t>Delay_Claims_Approved</t>
  </si>
  <si>
    <t>Compensation_Approval_percentage</t>
  </si>
  <si>
    <t>Passengers_per_claim</t>
  </si>
  <si>
    <t>Passengers_per_successful_claim</t>
  </si>
  <si>
    <t>Claims_per_train</t>
  </si>
  <si>
    <t>Claims_approved_per_train</t>
  </si>
  <si>
    <t>Avanti West Coast</t>
  </si>
  <si>
    <t>c2c</t>
  </si>
  <si>
    <t>Caledonian Sleeper</t>
  </si>
  <si>
    <t>Chiltern Railways</t>
  </si>
  <si>
    <t>CrossCountry</t>
  </si>
  <si>
    <t>East Midlands</t>
  </si>
  <si>
    <t>Elizabeth Line</t>
  </si>
  <si>
    <t>Govia Thameslink</t>
  </si>
  <si>
    <t>Great Western</t>
  </si>
  <si>
    <t>Greater Anglia</t>
  </si>
  <si>
    <t>London North Eastern</t>
  </si>
  <si>
    <t>London Overground</t>
  </si>
  <si>
    <t>Merseyrail</t>
  </si>
  <si>
    <t>Northern Rail</t>
  </si>
  <si>
    <t>Scot Rail</t>
  </si>
  <si>
    <t>South Western</t>
  </si>
  <si>
    <t>Southeastern</t>
  </si>
  <si>
    <t>TfW Rail</t>
  </si>
  <si>
    <t>TransPennine Express</t>
  </si>
  <si>
    <t>West Midlands</t>
  </si>
  <si>
    <t>Average</t>
  </si>
  <si>
    <t>Total_income</t>
  </si>
  <si>
    <t>Fare_income</t>
  </si>
  <si>
    <t>Total_operating_expenditure</t>
  </si>
  <si>
    <t>Staff_costs</t>
  </si>
  <si>
    <t>Network_rail_charges</t>
  </si>
  <si>
    <t>Net_franchise_subsidy</t>
  </si>
  <si>
    <t>Rolling_stock_costs</t>
  </si>
  <si>
    <t>Compensation_Approval_Log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</si>
</sst>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  <xf numFmtId="0" fontId="3" fillId="0" borderId="0" xfId="0" applyFont="1"/>
    <xf numFmtId="0" fontId="1" fillId="0" borderId="0" xfId="0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0DC0-2847-43F0-8599-66E1EDB39DE0}">
  <dimension ref="A1:AC22"/>
  <sheetViews>
    <sheetView tabSelected="1" topLeftCell="X1" workbookViewId="0">
      <selection activeCell="AB6" sqref="AB6"/>
    </sheetView>
  </sheetViews>
  <sheetFormatPr defaultRowHeight="15" x14ac:dyDescent="0.25"/>
  <cols>
    <col min="1" max="1" width="20.5703125" bestFit="1" customWidth="1"/>
    <col min="2" max="2" width="14.42578125" bestFit="1" customWidth="1"/>
    <col min="3" max="3" width="16.85546875" bestFit="1" customWidth="1"/>
    <col min="4" max="4" width="29.85546875" bestFit="1" customWidth="1"/>
    <col min="5" max="5" width="35.5703125" bestFit="1" customWidth="1"/>
    <col min="6" max="6" width="29.28515625" bestFit="1" customWidth="1"/>
    <col min="7" max="7" width="16.85546875" bestFit="1" customWidth="1"/>
    <col min="8" max="8" width="19.140625" bestFit="1" customWidth="1"/>
    <col min="9" max="9" width="22" bestFit="1" customWidth="1"/>
    <col min="10" max="10" width="23.85546875" bestFit="1" customWidth="1"/>
    <col min="11" max="11" width="37.28515625" bestFit="1" customWidth="1"/>
    <col min="12" max="12" width="31.140625" bestFit="1" customWidth="1"/>
    <col min="13" max="13" width="44.5703125" bestFit="1" customWidth="1"/>
    <col min="14" max="14" width="26.42578125" bestFit="1" customWidth="1"/>
    <col min="15" max="15" width="21.85546875" bestFit="1" customWidth="1"/>
    <col min="16" max="16" width="22.42578125" bestFit="1" customWidth="1"/>
    <col min="17" max="17" width="34" bestFit="1" customWidth="1"/>
    <col min="18" max="18" width="21" bestFit="1" customWidth="1"/>
    <col min="19" max="19" width="31.7109375" bestFit="1" customWidth="1"/>
    <col min="20" max="20" width="16" bestFit="1" customWidth="1"/>
    <col min="21" max="21" width="25.5703125" bestFit="1" customWidth="1"/>
    <col min="22" max="22" width="12.85546875" bestFit="1" customWidth="1"/>
    <col min="23" max="23" width="12.28515625" bestFit="1" customWidth="1"/>
    <col min="24" max="24" width="26.42578125" bestFit="1" customWidth="1"/>
    <col min="25" max="25" width="10.42578125" bestFit="1" customWidth="1"/>
    <col min="26" max="26" width="20.28515625" bestFit="1" customWidth="1"/>
    <col min="27" max="27" width="21.140625" bestFit="1" customWidth="1"/>
    <col min="28" max="28" width="18.5703125" bestFit="1" customWidth="1"/>
    <col min="29" max="29" width="27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</row>
    <row r="2" spans="1:29" s="5" customFormat="1" x14ac:dyDescent="0.25">
      <c r="A2" s="4" t="s">
        <v>21</v>
      </c>
      <c r="B2" s="4">
        <v>3228</v>
      </c>
      <c r="C2" s="4">
        <v>1310</v>
      </c>
      <c r="D2" s="4">
        <v>34900000</v>
      </c>
      <c r="E2" s="4">
        <v>6609000000</v>
      </c>
      <c r="F2" s="4">
        <v>30500000</v>
      </c>
      <c r="G2" s="4">
        <v>83076</v>
      </c>
      <c r="H2" s="4">
        <v>39.9</v>
      </c>
      <c r="I2" s="4">
        <f>B2/C2</f>
        <v>2.4641221374045803</v>
      </c>
      <c r="J2" s="4">
        <f>G2/B2</f>
        <v>25.736059479553905</v>
      </c>
      <c r="K2" s="4">
        <f>E2/D2</f>
        <v>189.36962750716333</v>
      </c>
      <c r="L2" s="4">
        <f>D2/G2</f>
        <v>420.09726033992968</v>
      </c>
      <c r="M2" s="4">
        <f>E2/G2</f>
        <v>79553.661707352308</v>
      </c>
      <c r="N2" s="4">
        <f xml:space="preserve"> G2 / C2</f>
        <v>63.416793893129771</v>
      </c>
      <c r="O2" s="4">
        <v>1400000</v>
      </c>
      <c r="P2" s="4">
        <v>1200000</v>
      </c>
      <c r="Q2" s="4">
        <f>(P2 / O2) *100</f>
        <v>85.714285714285708</v>
      </c>
      <c r="R2" s="4">
        <f t="shared" ref="R2:R9" si="0" xml:space="preserve"> D2 / O2</f>
        <v>24.928571428571427</v>
      </c>
      <c r="S2" s="4">
        <f t="shared" ref="S2:S9" si="1" xml:space="preserve"> D2 / P2</f>
        <v>29.083333333333332</v>
      </c>
      <c r="T2" s="4">
        <f t="shared" ref="T2:T9" si="2" xml:space="preserve"> O2 / G2</f>
        <v>16.852039096730703</v>
      </c>
      <c r="U2" s="4">
        <f t="shared" ref="U2:U9" si="3" xml:space="preserve"> P2 / G2</f>
        <v>14.444604940054889</v>
      </c>
      <c r="V2" s="4">
        <v>18.2</v>
      </c>
      <c r="W2" s="4">
        <v>17.100000000000001</v>
      </c>
      <c r="X2" s="4">
        <v>15.7</v>
      </c>
      <c r="Y2" s="4">
        <v>3.5</v>
      </c>
      <c r="Z2" s="4">
        <v>4.3</v>
      </c>
      <c r="AA2" s="4">
        <v>-2.2000000000000002</v>
      </c>
      <c r="AB2" s="4">
        <v>5.5</v>
      </c>
      <c r="AC2" s="7">
        <f xml:space="preserve"> 10^(LOG10(2000) + (X2 / 100) * (LOG10(1400000) -LOG10(2000)))</f>
        <v>5593.8444799107328</v>
      </c>
    </row>
    <row r="3" spans="1:29" x14ac:dyDescent="0.25">
      <c r="A3" s="1" t="s">
        <v>22</v>
      </c>
      <c r="B3" s="1">
        <v>638</v>
      </c>
      <c r="C3" s="1">
        <v>126</v>
      </c>
      <c r="D3" s="1">
        <v>37300000</v>
      </c>
      <c r="E3" s="1">
        <v>872000000</v>
      </c>
      <c r="F3" s="1">
        <v>6700000</v>
      </c>
      <c r="G3" s="1">
        <v>114059</v>
      </c>
      <c r="H3" s="1">
        <v>79.599999999999994</v>
      </c>
      <c r="I3" s="1">
        <f t="shared" ref="I3:I9" si="4">B3/C3</f>
        <v>5.0634920634920633</v>
      </c>
      <c r="J3" s="1">
        <f t="shared" ref="J3:J9" si="5">G3/B3</f>
        <v>178.77586206896552</v>
      </c>
      <c r="K3" s="1">
        <f t="shared" ref="K3:K9" si="6">E3/D3</f>
        <v>23.378016085790886</v>
      </c>
      <c r="L3" s="1">
        <f t="shared" ref="L3:L9" si="7">D3/G3</f>
        <v>327.02373333099536</v>
      </c>
      <c r="M3" s="1">
        <f t="shared" ref="M3:M9" si="8">E3/G3</f>
        <v>7645.1660982473986</v>
      </c>
      <c r="N3" s="1">
        <f t="shared" ref="N3:N9" si="9" xml:space="preserve"> G3 / C3</f>
        <v>905.23015873015868</v>
      </c>
      <c r="O3" s="1">
        <v>29000</v>
      </c>
      <c r="P3" s="1">
        <v>23400</v>
      </c>
      <c r="Q3" s="1">
        <f t="shared" ref="Q3:Q9" si="10">(P3 / O3) *100</f>
        <v>80.689655172413794</v>
      </c>
      <c r="R3" s="1">
        <f t="shared" si="0"/>
        <v>1286.2068965517242</v>
      </c>
      <c r="S3" s="1">
        <f t="shared" si="1"/>
        <v>1594.017094017094</v>
      </c>
      <c r="T3" s="1">
        <f t="shared" si="2"/>
        <v>0.254254377120613</v>
      </c>
      <c r="U3" s="1">
        <f t="shared" si="3"/>
        <v>0.20515698015939118</v>
      </c>
      <c r="V3" s="1">
        <v>18.3</v>
      </c>
      <c r="W3" s="1">
        <v>17.100000000000001</v>
      </c>
      <c r="X3" s="1">
        <v>25.4</v>
      </c>
      <c r="Y3" s="1">
        <v>6.8</v>
      </c>
      <c r="Z3" s="1">
        <v>5.5</v>
      </c>
      <c r="AA3" s="1">
        <v>7.4</v>
      </c>
      <c r="AB3" s="1">
        <v>6</v>
      </c>
      <c r="AC3" s="7">
        <f t="shared" ref="AC3:AC21" si="11" xml:space="preserve"> 10^(LOG10(2000) + (X3 / 100) * (LOG10(1400000) -LOG10(2000)))</f>
        <v>10560.510138284582</v>
      </c>
    </row>
    <row r="4" spans="1:29" x14ac:dyDescent="0.25">
      <c r="A4" s="1" t="s">
        <v>23</v>
      </c>
      <c r="B4" s="1">
        <v>257</v>
      </c>
      <c r="C4" s="1">
        <v>1471</v>
      </c>
      <c r="D4" s="1">
        <v>300000</v>
      </c>
      <c r="E4" s="1">
        <v>197000000</v>
      </c>
      <c r="F4" s="1">
        <v>1400000</v>
      </c>
      <c r="G4" s="1">
        <v>2058</v>
      </c>
      <c r="H4" s="1">
        <v>69.8</v>
      </c>
      <c r="I4" s="1">
        <f t="shared" si="4"/>
        <v>0.17471108089734874</v>
      </c>
      <c r="J4" s="1">
        <f t="shared" si="5"/>
        <v>8.0077821011673151</v>
      </c>
      <c r="K4" s="1">
        <f t="shared" si="6"/>
        <v>656.66666666666663</v>
      </c>
      <c r="L4" s="1">
        <f t="shared" si="7"/>
        <v>145.77259475218659</v>
      </c>
      <c r="M4" s="1">
        <f t="shared" si="8"/>
        <v>95724.003887269195</v>
      </c>
      <c r="N4" s="1">
        <f t="shared" si="9"/>
        <v>1.3990482664853841</v>
      </c>
      <c r="O4" s="1">
        <v>6900</v>
      </c>
      <c r="P4" s="1">
        <v>6154</v>
      </c>
      <c r="Q4" s="1">
        <f t="shared" si="10"/>
        <v>89.188405797101439</v>
      </c>
      <c r="R4" s="1">
        <f t="shared" si="0"/>
        <v>43.478260869565219</v>
      </c>
      <c r="S4" s="1">
        <f t="shared" si="1"/>
        <v>48.748781280467988</v>
      </c>
      <c r="T4" s="1">
        <f t="shared" si="2"/>
        <v>3.3527696793002915</v>
      </c>
      <c r="U4" s="1">
        <f t="shared" si="3"/>
        <v>2.990281827016521</v>
      </c>
      <c r="V4" s="1">
        <v>17.399999999999999</v>
      </c>
      <c r="W4" s="1">
        <v>16.600000000000001</v>
      </c>
      <c r="X4" s="1">
        <v>41.4</v>
      </c>
      <c r="Y4" s="1">
        <v>7.1</v>
      </c>
      <c r="Z4" s="1">
        <v>5.6</v>
      </c>
      <c r="AA4" s="1">
        <v>24</v>
      </c>
      <c r="AB4" s="1">
        <v>10.1</v>
      </c>
      <c r="AC4" s="7">
        <f t="shared" si="11"/>
        <v>30123.163860604283</v>
      </c>
    </row>
    <row r="5" spans="1:29" x14ac:dyDescent="0.25">
      <c r="A5" s="1" t="s">
        <v>24</v>
      </c>
      <c r="B5" s="1">
        <v>913</v>
      </c>
      <c r="C5" s="1">
        <v>349</v>
      </c>
      <c r="D5" s="1">
        <v>22900000</v>
      </c>
      <c r="E5" s="1">
        <v>1218000000</v>
      </c>
      <c r="F5" s="1">
        <v>9400000</v>
      </c>
      <c r="G5" s="1">
        <v>106660</v>
      </c>
      <c r="H5" s="1">
        <v>78.900000000000006</v>
      </c>
      <c r="I5" s="1">
        <f t="shared" si="4"/>
        <v>2.6160458452722062</v>
      </c>
      <c r="J5" s="1">
        <f t="shared" si="5"/>
        <v>116.8236582694414</v>
      </c>
      <c r="K5" s="1">
        <f t="shared" si="6"/>
        <v>53.187772925764193</v>
      </c>
      <c r="L5" s="1">
        <f t="shared" si="7"/>
        <v>214.70091880742547</v>
      </c>
      <c r="M5" s="1">
        <f t="shared" si="8"/>
        <v>11419.46371648228</v>
      </c>
      <c r="N5" s="1">
        <f t="shared" si="9"/>
        <v>305.6160458452722</v>
      </c>
      <c r="O5" s="1">
        <v>82700</v>
      </c>
      <c r="P5" s="1">
        <v>73200</v>
      </c>
      <c r="Q5" s="1">
        <f t="shared" si="10"/>
        <v>88.512696493349452</v>
      </c>
      <c r="R5" s="1">
        <f t="shared" si="0"/>
        <v>276.9044740024184</v>
      </c>
      <c r="S5" s="1">
        <f t="shared" si="1"/>
        <v>312.84153005464481</v>
      </c>
      <c r="T5" s="1">
        <f t="shared" si="2"/>
        <v>0.77536096006000377</v>
      </c>
      <c r="U5" s="1">
        <f t="shared" si="3"/>
        <v>0.68629289330583165</v>
      </c>
      <c r="V5" s="1">
        <v>18.8</v>
      </c>
      <c r="W5" s="1">
        <v>17.3</v>
      </c>
      <c r="X5" s="1">
        <v>21.5</v>
      </c>
      <c r="Y5" s="1">
        <v>6.1</v>
      </c>
      <c r="Z5" s="1">
        <v>5.6</v>
      </c>
      <c r="AA5" s="1">
        <v>3.2</v>
      </c>
      <c r="AB5" s="1">
        <v>3.8</v>
      </c>
      <c r="AC5" s="7">
        <f t="shared" si="11"/>
        <v>8179.4871462709298</v>
      </c>
    </row>
    <row r="6" spans="1:29" x14ac:dyDescent="0.25">
      <c r="A6" s="1" t="s">
        <v>25</v>
      </c>
      <c r="B6" s="1">
        <v>1881</v>
      </c>
      <c r="C6" s="1">
        <v>2710</v>
      </c>
      <c r="D6" s="1">
        <v>37800000</v>
      </c>
      <c r="E6" s="1">
        <v>3273000000</v>
      </c>
      <c r="F6" s="1">
        <v>24900000</v>
      </c>
      <c r="G6" s="1">
        <v>80251</v>
      </c>
      <c r="H6" s="1">
        <v>48.2</v>
      </c>
      <c r="I6" s="1">
        <f t="shared" si="4"/>
        <v>0.69409594095940963</v>
      </c>
      <c r="J6" s="1">
        <f t="shared" si="5"/>
        <v>42.664008506113767</v>
      </c>
      <c r="K6" s="1">
        <f t="shared" si="6"/>
        <v>86.587301587301582</v>
      </c>
      <c r="L6" s="1">
        <f t="shared" si="7"/>
        <v>471.02216794806293</v>
      </c>
      <c r="M6" s="1">
        <f t="shared" si="8"/>
        <v>40784.538510423547</v>
      </c>
      <c r="N6" s="1">
        <f t="shared" si="9"/>
        <v>29.61291512915129</v>
      </c>
      <c r="O6" s="1">
        <v>365200</v>
      </c>
      <c r="P6" s="1">
        <v>244700</v>
      </c>
      <c r="Q6" s="1">
        <f t="shared" si="10"/>
        <v>67.004381161007672</v>
      </c>
      <c r="R6" s="1">
        <f t="shared" si="0"/>
        <v>103.50492880613362</v>
      </c>
      <c r="S6" s="1">
        <f t="shared" si="1"/>
        <v>154.47486718430733</v>
      </c>
      <c r="T6" s="1">
        <f t="shared" si="2"/>
        <v>4.5507221093818142</v>
      </c>
      <c r="U6" s="1">
        <f t="shared" si="3"/>
        <v>3.0491831877484392</v>
      </c>
      <c r="V6" s="1">
        <v>16.2</v>
      </c>
      <c r="W6" s="1">
        <v>16.100000000000001</v>
      </c>
      <c r="X6" s="1">
        <v>17.5</v>
      </c>
      <c r="Y6" s="1">
        <v>5</v>
      </c>
      <c r="Z6" s="1">
        <v>3.4</v>
      </c>
      <c r="AA6" s="1">
        <v>1.3</v>
      </c>
      <c r="AB6" s="1">
        <v>5.7</v>
      </c>
      <c r="AC6" s="7">
        <f t="shared" si="11"/>
        <v>6293.9335391746508</v>
      </c>
    </row>
    <row r="7" spans="1:29" x14ac:dyDescent="0.25">
      <c r="A7" s="1" t="s">
        <v>26</v>
      </c>
      <c r="B7" s="1">
        <v>2454</v>
      </c>
      <c r="C7" s="1">
        <v>1490</v>
      </c>
      <c r="D7" s="1">
        <v>31500000</v>
      </c>
      <c r="E7" s="1">
        <v>2515000000</v>
      </c>
      <c r="F7" s="1">
        <v>24800000</v>
      </c>
      <c r="G7" s="1">
        <v>163065</v>
      </c>
      <c r="H7" s="1">
        <v>54.4</v>
      </c>
      <c r="I7" s="1">
        <f t="shared" si="4"/>
        <v>1.646979865771812</v>
      </c>
      <c r="J7" s="1">
        <f t="shared" si="5"/>
        <v>66.448655256723711</v>
      </c>
      <c r="K7" s="1">
        <f t="shared" si="6"/>
        <v>79.841269841269835</v>
      </c>
      <c r="L7" s="1">
        <f t="shared" si="7"/>
        <v>193.17450096587251</v>
      </c>
      <c r="M7" s="1">
        <f t="shared" si="8"/>
        <v>15423.297458068868</v>
      </c>
      <c r="N7" s="1">
        <f t="shared" si="9"/>
        <v>109.43959731543625</v>
      </c>
      <c r="O7" s="1">
        <v>402100</v>
      </c>
      <c r="P7" s="1">
        <v>319800</v>
      </c>
      <c r="Q7" s="1">
        <f t="shared" si="10"/>
        <v>79.532454613280279</v>
      </c>
      <c r="R7" s="1">
        <f t="shared" si="0"/>
        <v>78.338721711017158</v>
      </c>
      <c r="S7" s="1">
        <f t="shared" si="1"/>
        <v>98.499061913696053</v>
      </c>
      <c r="T7" s="1">
        <f t="shared" si="2"/>
        <v>2.4658878361389629</v>
      </c>
      <c r="U7" s="1">
        <f t="shared" si="3"/>
        <v>1.9611811240916199</v>
      </c>
      <c r="V7" s="1">
        <v>18.600000000000001</v>
      </c>
      <c r="W7" s="1">
        <v>17.399999999999999</v>
      </c>
      <c r="X7" s="1">
        <v>21.8</v>
      </c>
      <c r="Y7" s="1">
        <v>6.4</v>
      </c>
      <c r="Z7" s="1">
        <v>5.3</v>
      </c>
      <c r="AA7" s="1">
        <v>3.6</v>
      </c>
      <c r="AB7" s="1">
        <v>5.3</v>
      </c>
      <c r="AC7" s="7">
        <f t="shared" si="11"/>
        <v>8341.8306409724501</v>
      </c>
    </row>
    <row r="8" spans="1:29" s="5" customFormat="1" x14ac:dyDescent="0.25">
      <c r="A8" s="4" t="s">
        <v>27</v>
      </c>
      <c r="B8" s="4">
        <v>1287</v>
      </c>
      <c r="C8" s="4">
        <v>118</v>
      </c>
      <c r="D8" s="4">
        <v>242900000</v>
      </c>
      <c r="E8" s="4">
        <v>2380000000</v>
      </c>
      <c r="F8" s="4">
        <v>12000000</v>
      </c>
      <c r="G8" s="4">
        <v>339485</v>
      </c>
      <c r="H8" s="4">
        <v>79.400000000000006</v>
      </c>
      <c r="I8" s="4">
        <f t="shared" si="4"/>
        <v>10.90677966101695</v>
      </c>
      <c r="J8" s="4">
        <f t="shared" si="5"/>
        <v>263.78010878010878</v>
      </c>
      <c r="K8" s="4">
        <f t="shared" si="6"/>
        <v>9.7982708933717575</v>
      </c>
      <c r="L8" s="4">
        <f t="shared" si="7"/>
        <v>715.49552999396144</v>
      </c>
      <c r="M8" s="4">
        <f t="shared" si="8"/>
        <v>7010.6190258774323</v>
      </c>
      <c r="N8" s="4">
        <f t="shared" si="9"/>
        <v>2876.9915254237289</v>
      </c>
      <c r="O8" s="4">
        <v>17700</v>
      </c>
      <c r="P8" s="4">
        <v>6810</v>
      </c>
      <c r="Q8" s="4">
        <f t="shared" si="10"/>
        <v>38.474576271186436</v>
      </c>
      <c r="R8" s="4">
        <f t="shared" si="0"/>
        <v>13723.163841807909</v>
      </c>
      <c r="S8" s="4">
        <f t="shared" si="1"/>
        <v>35668.135095447869</v>
      </c>
      <c r="T8" s="4">
        <f t="shared" si="2"/>
        <v>5.2137796957155695E-2</v>
      </c>
      <c r="U8" s="4">
        <f t="shared" si="3"/>
        <v>2.0059796456397189E-2</v>
      </c>
      <c r="V8" s="4">
        <v>28.5</v>
      </c>
      <c r="W8" s="4">
        <v>27.4</v>
      </c>
      <c r="X8" s="4">
        <v>27.1</v>
      </c>
      <c r="Y8" s="4">
        <v>5.2</v>
      </c>
      <c r="Z8" s="4">
        <v>10.9</v>
      </c>
      <c r="AA8" s="4">
        <v>4.5</v>
      </c>
      <c r="AB8" s="4">
        <v>3.9</v>
      </c>
      <c r="AC8" s="7">
        <f t="shared" si="11"/>
        <v>11804.607854084457</v>
      </c>
    </row>
    <row r="9" spans="1:29" x14ac:dyDescent="0.25">
      <c r="A9" s="1" t="s">
        <v>28</v>
      </c>
      <c r="B9" s="1">
        <v>7227</v>
      </c>
      <c r="C9" s="1">
        <v>1149</v>
      </c>
      <c r="D9" s="1">
        <v>298000000</v>
      </c>
      <c r="E9" s="1">
        <v>8086000000</v>
      </c>
      <c r="F9" s="1">
        <v>59200000</v>
      </c>
      <c r="G9" s="1">
        <v>1037705</v>
      </c>
      <c r="H9" s="1">
        <v>68.2</v>
      </c>
      <c r="I9" s="1">
        <f t="shared" si="4"/>
        <v>6.2898172323759791</v>
      </c>
      <c r="J9" s="1">
        <f t="shared" si="5"/>
        <v>143.58724228587243</v>
      </c>
      <c r="K9" s="1">
        <f t="shared" si="6"/>
        <v>27.134228187919462</v>
      </c>
      <c r="L9" s="1">
        <f t="shared" si="7"/>
        <v>287.17217320914904</v>
      </c>
      <c r="M9" s="1">
        <f t="shared" si="8"/>
        <v>7792.1952770777825</v>
      </c>
      <c r="N9" s="1">
        <f t="shared" si="9"/>
        <v>903.13751087902529</v>
      </c>
      <c r="O9" s="1">
        <v>977400</v>
      </c>
      <c r="P9" s="1">
        <v>799200</v>
      </c>
      <c r="Q9" s="1">
        <f t="shared" si="10"/>
        <v>81.767955801104975</v>
      </c>
      <c r="R9" s="1">
        <f t="shared" si="0"/>
        <v>304.89052588500101</v>
      </c>
      <c r="S9" s="1">
        <f t="shared" si="1"/>
        <v>372.87287287287285</v>
      </c>
      <c r="T9" s="1">
        <f t="shared" si="2"/>
        <v>0.94188618152557813</v>
      </c>
      <c r="U9" s="1">
        <f t="shared" si="3"/>
        <v>0.77016107660654998</v>
      </c>
      <c r="V9" s="1">
        <v>21.1</v>
      </c>
      <c r="W9" s="1">
        <v>19.7</v>
      </c>
      <c r="X9" s="1">
        <v>23.6</v>
      </c>
      <c r="Y9" s="1">
        <v>6.8</v>
      </c>
      <c r="Z9" s="1">
        <v>7</v>
      </c>
      <c r="AA9" s="1">
        <v>2.9</v>
      </c>
      <c r="AB9" s="1">
        <v>6.7</v>
      </c>
      <c r="AC9" s="7">
        <f t="shared" si="11"/>
        <v>9385.8397096819572</v>
      </c>
    </row>
    <row r="10" spans="1:29" x14ac:dyDescent="0.25">
      <c r="A10" s="1" t="s">
        <v>29</v>
      </c>
      <c r="B10" s="1">
        <v>6215</v>
      </c>
      <c r="C10" s="1">
        <v>1997</v>
      </c>
      <c r="D10" s="1">
        <v>89000000</v>
      </c>
      <c r="E10" s="1">
        <v>6209000000</v>
      </c>
      <c r="F10" s="1">
        <v>46800000</v>
      </c>
      <c r="G10" s="1">
        <v>531200</v>
      </c>
      <c r="H10" s="1">
        <v>61.5</v>
      </c>
      <c r="I10" s="1">
        <f t="shared" ref="I10:I21" si="12">B10/C10</f>
        <v>3.1121682523785679</v>
      </c>
      <c r="J10" s="1">
        <f t="shared" ref="J10:J21" si="13">G10/B10</f>
        <v>85.470635559131139</v>
      </c>
      <c r="K10" s="1">
        <f t="shared" ref="K10:K21" si="14">E10/D10</f>
        <v>69.764044943820224</v>
      </c>
      <c r="L10" s="1">
        <f t="shared" ref="L10:L21" si="15">D10/G10</f>
        <v>167.54518072289156</v>
      </c>
      <c r="M10" s="1">
        <f t="shared" ref="M10:M21" si="16">E10/G10</f>
        <v>11688.62951807229</v>
      </c>
      <c r="N10" s="1">
        <f t="shared" ref="N10:N21" si="17" xml:space="preserve"> G10 / C10</f>
        <v>265.99899849774664</v>
      </c>
      <c r="O10" s="1">
        <v>1400000</v>
      </c>
      <c r="P10" s="1">
        <v>1200000</v>
      </c>
      <c r="Q10" s="1">
        <f t="shared" ref="Q10:Q21" si="18">(P10 / O10) *100</f>
        <v>85.714285714285708</v>
      </c>
      <c r="R10" s="1">
        <f t="shared" ref="R10:R21" si="19" xml:space="preserve"> D10 / O10</f>
        <v>63.571428571428569</v>
      </c>
      <c r="S10" s="1">
        <f t="shared" ref="S10:S21" si="20" xml:space="preserve"> D10 / P10</f>
        <v>74.166666666666671</v>
      </c>
      <c r="T10" s="1">
        <f t="shared" ref="T10:T21" si="21" xml:space="preserve"> O10 / G10</f>
        <v>2.6355421686746987</v>
      </c>
      <c r="U10" s="1">
        <f t="shared" ref="U10:U21" si="22" xml:space="preserve"> P10 / G10</f>
        <v>2.2590361445783134</v>
      </c>
      <c r="V10" s="1">
        <v>19.600000000000001</v>
      </c>
      <c r="W10" s="1">
        <v>18.7</v>
      </c>
      <c r="X10" s="1">
        <v>26</v>
      </c>
      <c r="Y10" s="1">
        <v>6.8</v>
      </c>
      <c r="Z10" s="1">
        <v>5</v>
      </c>
      <c r="AA10" s="1">
        <v>6.9</v>
      </c>
      <c r="AB10" s="1">
        <v>10.1</v>
      </c>
      <c r="AC10" s="7">
        <f t="shared" si="11"/>
        <v>10983.872577612998</v>
      </c>
    </row>
    <row r="11" spans="1:29" s="5" customFormat="1" x14ac:dyDescent="0.25">
      <c r="A11" s="4" t="s">
        <v>30</v>
      </c>
      <c r="B11" s="4">
        <v>2713</v>
      </c>
      <c r="C11" s="4">
        <v>511</v>
      </c>
      <c r="D11" s="4">
        <v>81800000</v>
      </c>
      <c r="E11" s="4">
        <v>3613000000</v>
      </c>
      <c r="F11" s="4">
        <v>28000000</v>
      </c>
      <c r="G11" s="4">
        <v>426765</v>
      </c>
      <c r="H11" s="4">
        <v>84.8</v>
      </c>
      <c r="I11" s="4">
        <f t="shared" si="12"/>
        <v>5.3091976516634052</v>
      </c>
      <c r="J11" s="4">
        <f t="shared" si="13"/>
        <v>157.30372281607077</v>
      </c>
      <c r="K11" s="4">
        <f t="shared" si="14"/>
        <v>44.168704156479215</v>
      </c>
      <c r="L11" s="4">
        <f t="shared" si="15"/>
        <v>191.67457500029289</v>
      </c>
      <c r="M11" s="4">
        <f t="shared" si="16"/>
        <v>8466.017597506825</v>
      </c>
      <c r="N11" s="4">
        <f t="shared" si="17"/>
        <v>835.15655577299412</v>
      </c>
      <c r="O11" s="4">
        <v>260300</v>
      </c>
      <c r="P11" s="4">
        <v>204100</v>
      </c>
      <c r="Q11" s="4">
        <f t="shared" si="18"/>
        <v>78.409527468305811</v>
      </c>
      <c r="R11" s="4">
        <f t="shared" si="19"/>
        <v>314.252785247791</v>
      </c>
      <c r="S11" s="4">
        <f t="shared" si="20"/>
        <v>400.78392944634982</v>
      </c>
      <c r="T11" s="4">
        <f t="shared" si="21"/>
        <v>0.60993755345447731</v>
      </c>
      <c r="U11" s="4">
        <f t="shared" si="22"/>
        <v>0.47824915351540076</v>
      </c>
      <c r="V11" s="4">
        <v>21.4</v>
      </c>
      <c r="W11" s="4">
        <v>20.100000000000001</v>
      </c>
      <c r="X11" s="4">
        <v>17.7</v>
      </c>
      <c r="Y11" s="4">
        <v>5.0999999999999996</v>
      </c>
      <c r="Z11" s="4">
        <v>5.4</v>
      </c>
      <c r="AA11" s="4">
        <v>-3.5</v>
      </c>
      <c r="AB11" s="4">
        <v>3.4</v>
      </c>
      <c r="AC11" s="7">
        <f t="shared" si="11"/>
        <v>6376.9402639203727</v>
      </c>
    </row>
    <row r="12" spans="1:29" x14ac:dyDescent="0.25">
      <c r="A12" s="1" t="s">
        <v>31</v>
      </c>
      <c r="B12" s="1">
        <v>3212</v>
      </c>
      <c r="C12" s="1">
        <v>1515</v>
      </c>
      <c r="D12" s="1">
        <v>26600000</v>
      </c>
      <c r="E12" s="1">
        <v>6154000000</v>
      </c>
      <c r="F12" s="1">
        <v>23600000</v>
      </c>
      <c r="G12" s="1">
        <v>53710</v>
      </c>
      <c r="H12" s="1">
        <v>56.5</v>
      </c>
      <c r="I12" s="1">
        <f t="shared" si="12"/>
        <v>2.1201320132013199</v>
      </c>
      <c r="J12" s="1">
        <f t="shared" si="13"/>
        <v>16.721668742216689</v>
      </c>
      <c r="K12" s="1">
        <f t="shared" si="14"/>
        <v>231.35338345864662</v>
      </c>
      <c r="L12" s="1">
        <f t="shared" si="15"/>
        <v>495.25228076708248</v>
      </c>
      <c r="M12" s="1">
        <f t="shared" si="16"/>
        <v>114578.29082107615</v>
      </c>
      <c r="N12" s="1">
        <f t="shared" si="17"/>
        <v>35.452145214521451</v>
      </c>
      <c r="O12" s="1">
        <v>631500</v>
      </c>
      <c r="P12" s="1">
        <v>527300</v>
      </c>
      <c r="Q12" s="1">
        <f t="shared" si="18"/>
        <v>83.49960411718132</v>
      </c>
      <c r="R12" s="1">
        <f t="shared" si="19"/>
        <v>42.121931908155183</v>
      </c>
      <c r="S12" s="1">
        <f t="shared" si="20"/>
        <v>50.445666603451542</v>
      </c>
      <c r="T12" s="1">
        <f t="shared" si="21"/>
        <v>11.757587041519271</v>
      </c>
      <c r="U12" s="1">
        <f t="shared" si="22"/>
        <v>9.8175386334016004</v>
      </c>
      <c r="V12" s="1">
        <v>15.4</v>
      </c>
      <c r="W12" s="1">
        <v>14.4</v>
      </c>
      <c r="X12" s="1">
        <v>16.899999999999999</v>
      </c>
      <c r="Y12" s="1">
        <v>3.1</v>
      </c>
      <c r="Z12" s="1">
        <v>3.5</v>
      </c>
      <c r="AA12" s="1">
        <v>1.5</v>
      </c>
      <c r="AB12" s="1">
        <v>6.9</v>
      </c>
      <c r="AC12" s="7">
        <f t="shared" si="11"/>
        <v>6051.3401334985101</v>
      </c>
    </row>
    <row r="13" spans="1:29" x14ac:dyDescent="0.25">
      <c r="A13" s="1" t="s">
        <v>32</v>
      </c>
      <c r="B13" s="1">
        <v>1506</v>
      </c>
      <c r="C13" s="1">
        <v>174</v>
      </c>
      <c r="D13" s="1">
        <v>180400000</v>
      </c>
      <c r="E13" s="1">
        <v>1248000000</v>
      </c>
      <c r="F13" s="1">
        <v>11400000</v>
      </c>
      <c r="G13" s="1">
        <v>519210</v>
      </c>
      <c r="H13" s="1">
        <v>72</v>
      </c>
      <c r="I13" s="1">
        <f t="shared" si="12"/>
        <v>8.6551724137931032</v>
      </c>
      <c r="J13" s="1">
        <f t="shared" si="13"/>
        <v>344.76095617529882</v>
      </c>
      <c r="K13" s="1">
        <f t="shared" si="14"/>
        <v>6.917960088691796</v>
      </c>
      <c r="L13" s="1">
        <f t="shared" si="15"/>
        <v>347.45093507444</v>
      </c>
      <c r="M13" s="1">
        <f t="shared" si="16"/>
        <v>2403.6517016236203</v>
      </c>
      <c r="N13" s="1">
        <f t="shared" si="17"/>
        <v>2983.9655172413795</v>
      </c>
      <c r="O13" s="1">
        <v>11100</v>
      </c>
      <c r="P13" s="1">
        <v>4925</v>
      </c>
      <c r="Q13" s="1">
        <f t="shared" si="18"/>
        <v>44.369369369369373</v>
      </c>
      <c r="R13" s="1">
        <f t="shared" si="19"/>
        <v>16252.252252252252</v>
      </c>
      <c r="S13" s="1">
        <f t="shared" si="20"/>
        <v>36629.441624365485</v>
      </c>
      <c r="T13" s="1">
        <f t="shared" si="21"/>
        <v>2.1378632923094703E-2</v>
      </c>
      <c r="U13" s="1">
        <f t="shared" si="22"/>
        <v>9.4855646077694963E-3</v>
      </c>
      <c r="V13" s="1">
        <v>22.6</v>
      </c>
      <c r="W13" s="1">
        <v>20.9</v>
      </c>
      <c r="X13" s="1">
        <v>39.299999999999997</v>
      </c>
      <c r="Y13" s="1">
        <v>11.8</v>
      </c>
      <c r="Z13" s="1">
        <v>7.7</v>
      </c>
      <c r="AA13" s="1">
        <v>17.3</v>
      </c>
      <c r="AB13" s="1">
        <v>5.0999999999999996</v>
      </c>
      <c r="AC13" s="7">
        <f t="shared" si="11"/>
        <v>26251.463824665643</v>
      </c>
    </row>
    <row r="14" spans="1:29" x14ac:dyDescent="0.25">
      <c r="A14" s="1" t="s">
        <v>33</v>
      </c>
      <c r="B14" s="1">
        <v>1188</v>
      </c>
      <c r="C14" s="1">
        <v>122</v>
      </c>
      <c r="D14" s="1">
        <v>29900000</v>
      </c>
      <c r="E14" s="1">
        <v>542000000</v>
      </c>
      <c r="F14" s="1">
        <v>6300000</v>
      </c>
      <c r="G14" s="1">
        <v>197630</v>
      </c>
      <c r="H14" s="1">
        <v>70.7</v>
      </c>
      <c r="I14" s="1">
        <f t="shared" si="12"/>
        <v>9.7377049180327866</v>
      </c>
      <c r="J14" s="1">
        <f t="shared" si="13"/>
        <v>166.35521885521885</v>
      </c>
      <c r="K14" s="1">
        <f t="shared" si="14"/>
        <v>18.127090301003346</v>
      </c>
      <c r="L14" s="1">
        <f t="shared" si="15"/>
        <v>151.29281991600465</v>
      </c>
      <c r="M14" s="1">
        <f t="shared" si="16"/>
        <v>2742.4986085108535</v>
      </c>
      <c r="N14" s="1">
        <f t="shared" si="17"/>
        <v>1619.9180327868853</v>
      </c>
      <c r="O14" s="1">
        <v>3100</v>
      </c>
      <c r="P14" s="1">
        <v>2224</v>
      </c>
      <c r="Q14" s="1">
        <f t="shared" si="18"/>
        <v>71.741935483870961</v>
      </c>
      <c r="R14" s="1">
        <f t="shared" si="19"/>
        <v>9645.1612903225814</v>
      </c>
      <c r="S14" s="1">
        <f t="shared" si="20"/>
        <v>13444.244604316547</v>
      </c>
      <c r="T14" s="1">
        <f t="shared" si="21"/>
        <v>1.5685877650154331E-2</v>
      </c>
      <c r="U14" s="1">
        <f t="shared" si="22"/>
        <v>1.1253352223852655E-2</v>
      </c>
      <c r="V14" s="1">
        <v>12.2</v>
      </c>
      <c r="W14" s="1">
        <v>8.6999999999999993</v>
      </c>
      <c r="X14" s="1">
        <v>34.5</v>
      </c>
      <c r="Y14" s="1">
        <v>13.2</v>
      </c>
      <c r="Z14" s="1">
        <v>9.6</v>
      </c>
      <c r="AA14" s="1">
        <v>27.7</v>
      </c>
      <c r="AB14" s="1">
        <v>2.6</v>
      </c>
      <c r="AC14" s="7">
        <f t="shared" si="11"/>
        <v>19168.530466729288</v>
      </c>
    </row>
    <row r="15" spans="1:29" s="6" customFormat="1" x14ac:dyDescent="0.25">
      <c r="A15" s="2" t="s">
        <v>34</v>
      </c>
      <c r="B15" s="2">
        <v>6957</v>
      </c>
      <c r="C15" s="2">
        <v>3158</v>
      </c>
      <c r="D15" s="2">
        <v>91800000</v>
      </c>
      <c r="E15" s="2">
        <v>2702000000</v>
      </c>
      <c r="F15" s="2">
        <v>51000000</v>
      </c>
      <c r="G15" s="2">
        <v>787625</v>
      </c>
      <c r="H15" s="2">
        <v>58.2</v>
      </c>
      <c r="I15" s="2">
        <f t="shared" si="12"/>
        <v>2.2029765674477519</v>
      </c>
      <c r="J15" s="2">
        <f t="shared" si="13"/>
        <v>113.21331033491447</v>
      </c>
      <c r="K15" s="2">
        <f t="shared" si="14"/>
        <v>29.433551198257081</v>
      </c>
      <c r="L15" s="2">
        <f t="shared" si="15"/>
        <v>116.55292810664974</v>
      </c>
      <c r="M15" s="2">
        <f t="shared" si="16"/>
        <v>3430.5665767338519</v>
      </c>
      <c r="N15" s="2">
        <f t="shared" si="17"/>
        <v>249.40626979100696</v>
      </c>
      <c r="O15" s="2">
        <v>496400</v>
      </c>
      <c r="P15" s="2">
        <v>377800</v>
      </c>
      <c r="Q15" s="2">
        <f t="shared" si="18"/>
        <v>76.10797743755036</v>
      </c>
      <c r="R15" s="2">
        <f t="shared" si="19"/>
        <v>184.93150684931507</v>
      </c>
      <c r="S15" s="2">
        <f t="shared" si="20"/>
        <v>242.98570672313394</v>
      </c>
      <c r="T15" s="2">
        <f t="shared" si="21"/>
        <v>0.63024916679892085</v>
      </c>
      <c r="U15" s="2">
        <f t="shared" si="22"/>
        <v>0.47966989366767182</v>
      </c>
      <c r="V15" s="2">
        <v>15.6</v>
      </c>
      <c r="W15" s="2">
        <v>14.8</v>
      </c>
      <c r="X15" s="2">
        <v>41.8</v>
      </c>
      <c r="Y15" s="2">
        <v>16.600000000000001</v>
      </c>
      <c r="Z15" s="2">
        <v>8.5</v>
      </c>
      <c r="AA15" s="2">
        <v>26.6</v>
      </c>
      <c r="AB15" s="2">
        <v>8.8000000000000007</v>
      </c>
      <c r="AC15" s="7">
        <f t="shared" si="11"/>
        <v>30922.954141716316</v>
      </c>
    </row>
    <row r="16" spans="1:29" s="6" customFormat="1" x14ac:dyDescent="0.25">
      <c r="A16" s="2" t="s">
        <v>35</v>
      </c>
      <c r="B16" s="2">
        <v>5398</v>
      </c>
      <c r="C16" s="2">
        <v>3121</v>
      </c>
      <c r="D16" s="2">
        <v>84700000</v>
      </c>
      <c r="E16" s="2">
        <v>2630000000</v>
      </c>
      <c r="F16" s="2">
        <v>42400000</v>
      </c>
      <c r="G16" s="2">
        <v>669021</v>
      </c>
      <c r="H16" s="2">
        <v>69.2</v>
      </c>
      <c r="I16" s="2">
        <f t="shared" si="12"/>
        <v>1.7295738545338033</v>
      </c>
      <c r="J16" s="2">
        <f t="shared" si="13"/>
        <v>123.93868099296036</v>
      </c>
      <c r="K16" s="2">
        <f t="shared" si="14"/>
        <v>31.050767414403779</v>
      </c>
      <c r="L16" s="2">
        <f t="shared" si="15"/>
        <v>126.60290185210927</v>
      </c>
      <c r="M16" s="2">
        <f t="shared" si="16"/>
        <v>3931.1172593984343</v>
      </c>
      <c r="N16" s="2">
        <f t="shared" si="17"/>
        <v>214.36110221082987</v>
      </c>
      <c r="O16" s="2">
        <v>71100</v>
      </c>
      <c r="P16" s="2">
        <v>47500</v>
      </c>
      <c r="Q16" s="2">
        <f t="shared" si="18"/>
        <v>66.807313642756682</v>
      </c>
      <c r="R16" s="2">
        <f t="shared" si="19"/>
        <v>1191.2798874824191</v>
      </c>
      <c r="S16" s="2">
        <f t="shared" si="20"/>
        <v>1783.1578947368421</v>
      </c>
      <c r="T16" s="2">
        <f t="shared" si="21"/>
        <v>0.1062746909289843</v>
      </c>
      <c r="U16" s="2">
        <f t="shared" si="22"/>
        <v>7.0999266091796825E-2</v>
      </c>
      <c r="V16" s="2">
        <v>14</v>
      </c>
      <c r="W16" s="2">
        <v>13.9</v>
      </c>
      <c r="X16" s="2">
        <v>43.6</v>
      </c>
      <c r="Y16" s="2">
        <v>13</v>
      </c>
      <c r="Z16" s="2">
        <v>16.5</v>
      </c>
      <c r="AA16" s="2">
        <v>29.5</v>
      </c>
      <c r="AB16" s="2">
        <v>8</v>
      </c>
      <c r="AC16" s="7">
        <f t="shared" si="11"/>
        <v>34793.069221333426</v>
      </c>
    </row>
    <row r="17" spans="1:29" x14ac:dyDescent="0.25">
      <c r="A17" s="1" t="s">
        <v>36</v>
      </c>
      <c r="B17" s="1">
        <v>5285</v>
      </c>
      <c r="C17" s="1">
        <v>998</v>
      </c>
      <c r="D17" s="1">
        <v>165600000</v>
      </c>
      <c r="E17" s="1">
        <v>4890000000</v>
      </c>
      <c r="F17" s="1">
        <v>35300000</v>
      </c>
      <c r="G17" s="1">
        <v>539311</v>
      </c>
      <c r="H17" s="1">
        <v>65.7</v>
      </c>
      <c r="I17" s="1">
        <f t="shared" si="12"/>
        <v>5.2955911823647295</v>
      </c>
      <c r="J17" s="1">
        <f t="shared" si="13"/>
        <v>102.04560075685903</v>
      </c>
      <c r="K17" s="1">
        <f t="shared" si="14"/>
        <v>29.528985507246375</v>
      </c>
      <c r="L17" s="1">
        <f t="shared" si="15"/>
        <v>307.05845050443992</v>
      </c>
      <c r="M17" s="1">
        <f t="shared" si="16"/>
        <v>9067.124534823135</v>
      </c>
      <c r="N17" s="1">
        <f t="shared" si="17"/>
        <v>540.39178356713421</v>
      </c>
      <c r="O17" s="1">
        <v>676000</v>
      </c>
      <c r="P17" s="1">
        <v>563100</v>
      </c>
      <c r="Q17" s="1">
        <f t="shared" si="18"/>
        <v>83.298816568047343</v>
      </c>
      <c r="R17" s="1">
        <f t="shared" si="19"/>
        <v>244.97041420118344</v>
      </c>
      <c r="S17" s="1">
        <f t="shared" si="20"/>
        <v>294.08630793819924</v>
      </c>
      <c r="T17" s="1">
        <f t="shared" si="21"/>
        <v>1.2534511626872065</v>
      </c>
      <c r="U17" s="1">
        <f t="shared" si="22"/>
        <v>1.0441099847768727</v>
      </c>
      <c r="V17" s="1">
        <v>21.6</v>
      </c>
      <c r="W17" s="1">
        <v>20.5</v>
      </c>
      <c r="X17" s="1">
        <v>23.8</v>
      </c>
      <c r="Y17" s="1">
        <v>7.8</v>
      </c>
      <c r="Z17" s="1">
        <v>6.7</v>
      </c>
      <c r="AA17" s="1">
        <v>2.6</v>
      </c>
      <c r="AB17" s="1">
        <v>5.6</v>
      </c>
      <c r="AC17" s="7">
        <f t="shared" si="11"/>
        <v>9509.6236372432886</v>
      </c>
    </row>
    <row r="18" spans="1:29" x14ac:dyDescent="0.25">
      <c r="A18" s="1" t="s">
        <v>37</v>
      </c>
      <c r="B18" s="1">
        <v>4491</v>
      </c>
      <c r="C18" s="1">
        <v>748</v>
      </c>
      <c r="D18" s="1">
        <v>137900000</v>
      </c>
      <c r="E18" s="1">
        <v>3779000000</v>
      </c>
      <c r="F18" s="1">
        <v>32400000</v>
      </c>
      <c r="G18" s="1">
        <v>547756</v>
      </c>
      <c r="H18" s="1">
        <v>66</v>
      </c>
      <c r="I18" s="1">
        <f t="shared" si="12"/>
        <v>6.0040106951871657</v>
      </c>
      <c r="J18" s="1">
        <f t="shared" si="13"/>
        <v>121.96749053662882</v>
      </c>
      <c r="K18" s="1">
        <f t="shared" si="14"/>
        <v>27.403915881073242</v>
      </c>
      <c r="L18" s="1">
        <f t="shared" si="15"/>
        <v>251.75443080495694</v>
      </c>
      <c r="M18" s="1">
        <f t="shared" si="16"/>
        <v>6899.057244466514</v>
      </c>
      <c r="N18" s="1">
        <f t="shared" si="17"/>
        <v>732.29411764705878</v>
      </c>
      <c r="O18" s="1">
        <v>558900</v>
      </c>
      <c r="P18" s="1">
        <v>457600</v>
      </c>
      <c r="Q18" s="1">
        <f t="shared" si="18"/>
        <v>81.875111826802652</v>
      </c>
      <c r="R18" s="1">
        <f t="shared" si="19"/>
        <v>246.7346573626767</v>
      </c>
      <c r="S18" s="1">
        <f t="shared" si="20"/>
        <v>301.35489510489509</v>
      </c>
      <c r="T18" s="1">
        <f t="shared" si="21"/>
        <v>1.020344825068096</v>
      </c>
      <c r="U18" s="1">
        <f t="shared" si="22"/>
        <v>0.83540846654349743</v>
      </c>
      <c r="V18" s="1">
        <v>22.5</v>
      </c>
      <c r="W18" s="1">
        <v>21.3</v>
      </c>
      <c r="X18" s="1">
        <v>33.299999999999997</v>
      </c>
      <c r="Y18" s="1">
        <v>7.8</v>
      </c>
      <c r="Z18" s="1">
        <v>15.5</v>
      </c>
      <c r="AA18" s="1">
        <v>11.1</v>
      </c>
      <c r="AB18" s="1">
        <v>6.6</v>
      </c>
      <c r="AC18" s="7">
        <f t="shared" si="11"/>
        <v>17719.344140935413</v>
      </c>
    </row>
    <row r="19" spans="1:29" s="6" customFormat="1" x14ac:dyDescent="0.25">
      <c r="A19" s="2" t="s">
        <v>38</v>
      </c>
      <c r="B19" s="2">
        <v>3327</v>
      </c>
      <c r="C19" s="2">
        <v>1827</v>
      </c>
      <c r="D19" s="2">
        <v>31300000</v>
      </c>
      <c r="E19" s="2">
        <v>1208000000</v>
      </c>
      <c r="F19" s="2">
        <v>25600000</v>
      </c>
      <c r="G19" s="2">
        <v>335614</v>
      </c>
      <c r="H19" s="2">
        <v>62.2</v>
      </c>
      <c r="I19" s="2">
        <f t="shared" si="12"/>
        <v>1.8210180623973728</v>
      </c>
      <c r="J19" s="2">
        <f t="shared" si="13"/>
        <v>100.87586414186956</v>
      </c>
      <c r="K19" s="2">
        <f t="shared" si="14"/>
        <v>38.594249201277954</v>
      </c>
      <c r="L19" s="2">
        <f t="shared" si="15"/>
        <v>93.261902066063996</v>
      </c>
      <c r="M19" s="2">
        <f t="shared" si="16"/>
        <v>3599.373089322853</v>
      </c>
      <c r="N19" s="2">
        <f t="shared" si="17"/>
        <v>183.69677066228792</v>
      </c>
      <c r="O19" s="2">
        <v>157600</v>
      </c>
      <c r="P19" s="2">
        <v>116400</v>
      </c>
      <c r="Q19" s="2">
        <f t="shared" si="18"/>
        <v>73.857868020304579</v>
      </c>
      <c r="R19" s="2">
        <f t="shared" si="19"/>
        <v>198.60406091370558</v>
      </c>
      <c r="S19" s="2">
        <f t="shared" si="20"/>
        <v>268.90034364261169</v>
      </c>
      <c r="T19" s="2">
        <f t="shared" si="21"/>
        <v>0.4695870851633126</v>
      </c>
      <c r="U19" s="2">
        <f t="shared" si="22"/>
        <v>0.34682700960031465</v>
      </c>
      <c r="V19" s="2">
        <v>17.7</v>
      </c>
      <c r="W19" s="2">
        <v>14.5</v>
      </c>
      <c r="X19" s="2">
        <v>47.9</v>
      </c>
      <c r="Y19" s="2">
        <v>21.1</v>
      </c>
      <c r="Z19" s="2">
        <v>6.6</v>
      </c>
      <c r="AA19" s="2">
        <v>32.5</v>
      </c>
      <c r="AB19" s="2">
        <v>10</v>
      </c>
      <c r="AC19" s="7">
        <f t="shared" si="11"/>
        <v>46113.910977530708</v>
      </c>
    </row>
    <row r="20" spans="1:29" x14ac:dyDescent="0.25">
      <c r="A20" s="1" t="s">
        <v>39</v>
      </c>
      <c r="B20" s="1">
        <v>1768</v>
      </c>
      <c r="C20" s="1">
        <v>1359</v>
      </c>
      <c r="D20" s="1">
        <v>27500000</v>
      </c>
      <c r="E20" s="1">
        <v>2106000000</v>
      </c>
      <c r="F20" s="1">
        <v>19600000</v>
      </c>
      <c r="G20" s="1">
        <v>104428</v>
      </c>
      <c r="H20" s="1">
        <v>48.3</v>
      </c>
      <c r="I20" s="1">
        <f t="shared" si="12"/>
        <v>1.3009565857247976</v>
      </c>
      <c r="J20" s="1">
        <f t="shared" si="13"/>
        <v>59.065610859728508</v>
      </c>
      <c r="K20" s="1">
        <f t="shared" si="14"/>
        <v>76.581818181818178</v>
      </c>
      <c r="L20" s="1">
        <f t="shared" si="15"/>
        <v>263.33933427816294</v>
      </c>
      <c r="M20" s="1">
        <f t="shared" si="16"/>
        <v>20167.005017811316</v>
      </c>
      <c r="N20" s="1">
        <f t="shared" si="17"/>
        <v>76.841795437821929</v>
      </c>
      <c r="O20" s="1">
        <v>292700</v>
      </c>
      <c r="P20" s="1">
        <v>243400</v>
      </c>
      <c r="Q20" s="1">
        <f t="shared" si="18"/>
        <v>83.156815852408599</v>
      </c>
      <c r="R20" s="1">
        <f t="shared" si="19"/>
        <v>93.952852750256241</v>
      </c>
      <c r="S20" s="1">
        <f t="shared" si="20"/>
        <v>112.98274445357437</v>
      </c>
      <c r="T20" s="1">
        <f t="shared" si="21"/>
        <v>2.8028881142988471</v>
      </c>
      <c r="U20" s="1">
        <f t="shared" si="22"/>
        <v>2.3307925077565406</v>
      </c>
      <c r="V20" s="1">
        <v>14.3</v>
      </c>
      <c r="W20" s="1">
        <v>13.7</v>
      </c>
      <c r="X20" s="1">
        <v>21.9</v>
      </c>
      <c r="Y20" s="1">
        <v>5.9</v>
      </c>
      <c r="Z20" s="1">
        <v>4.0999999999999996</v>
      </c>
      <c r="AA20" s="1">
        <v>7.8</v>
      </c>
      <c r="AB20" s="1">
        <v>8.1999999999999993</v>
      </c>
      <c r="AC20" s="7">
        <f t="shared" si="11"/>
        <v>8396.6580368965278</v>
      </c>
    </row>
    <row r="21" spans="1:29" x14ac:dyDescent="0.25">
      <c r="A21" s="1" t="s">
        <v>40</v>
      </c>
      <c r="B21" s="1">
        <v>2903</v>
      </c>
      <c r="C21" s="1">
        <v>900</v>
      </c>
      <c r="D21" s="1">
        <v>67700000</v>
      </c>
      <c r="E21" s="1">
        <v>2811000000</v>
      </c>
      <c r="F21" s="1">
        <v>24300000</v>
      </c>
      <c r="G21" s="1">
        <v>386437</v>
      </c>
      <c r="H21" s="1">
        <v>64.400000000000006</v>
      </c>
      <c r="I21" s="1">
        <f t="shared" si="12"/>
        <v>3.2255555555555557</v>
      </c>
      <c r="J21" s="1">
        <f t="shared" si="13"/>
        <v>133.11643127798828</v>
      </c>
      <c r="K21" s="1">
        <f t="shared" si="14"/>
        <v>41.521418020679469</v>
      </c>
      <c r="L21" s="1">
        <f t="shared" si="15"/>
        <v>175.19026387224827</v>
      </c>
      <c r="M21" s="1">
        <f t="shared" si="16"/>
        <v>7274.1481793927596</v>
      </c>
      <c r="N21" s="1">
        <f t="shared" si="17"/>
        <v>429.37444444444446</v>
      </c>
      <c r="O21" s="1">
        <v>434100</v>
      </c>
      <c r="P21" s="1">
        <v>335600</v>
      </c>
      <c r="Q21" s="1">
        <f t="shared" si="18"/>
        <v>77.309375719880208</v>
      </c>
      <c r="R21" s="1">
        <f t="shared" si="19"/>
        <v>155.95484911310757</v>
      </c>
      <c r="S21" s="1">
        <f t="shared" si="20"/>
        <v>201.72824791418356</v>
      </c>
      <c r="T21" s="1">
        <f t="shared" si="21"/>
        <v>1.1233396388027026</v>
      </c>
      <c r="U21" s="1">
        <f t="shared" si="22"/>
        <v>0.86844686197232668</v>
      </c>
      <c r="V21" s="1">
        <v>15.6</v>
      </c>
      <c r="W21" s="1">
        <v>14.5</v>
      </c>
      <c r="X21" s="1">
        <v>27.3</v>
      </c>
      <c r="Y21" s="1">
        <v>7.6</v>
      </c>
      <c r="Z21" s="1">
        <v>7.1</v>
      </c>
      <c r="AA21" s="1">
        <v>12.2</v>
      </c>
      <c r="AB21" s="1">
        <v>6.1</v>
      </c>
      <c r="AC21" s="7">
        <f t="shared" si="11"/>
        <v>11960.291391061186</v>
      </c>
    </row>
    <row r="22" spans="1:29" x14ac:dyDescent="0.25">
      <c r="A22" s="3" t="s">
        <v>41</v>
      </c>
      <c r="B22" s="3">
        <f t="shared" ref="B22:AB22" si="23">AVERAGE(B2:B21)</f>
        <v>3142.4</v>
      </c>
      <c r="C22" s="3">
        <f t="shared" si="23"/>
        <v>1257.6500000000001</v>
      </c>
      <c r="D22" s="3">
        <f t="shared" si="23"/>
        <v>85990000</v>
      </c>
      <c r="E22" s="3">
        <f t="shared" si="23"/>
        <v>3152100000</v>
      </c>
      <c r="F22" s="3">
        <f t="shared" si="23"/>
        <v>25780000</v>
      </c>
      <c r="G22" s="3">
        <f t="shared" si="23"/>
        <v>351253.3</v>
      </c>
      <c r="H22" s="3">
        <f t="shared" si="23"/>
        <v>64.89500000000001</v>
      </c>
      <c r="I22" s="3">
        <f t="shared" si="23"/>
        <v>4.0185050789735346</v>
      </c>
      <c r="J22" s="3">
        <f t="shared" si="23"/>
        <v>118.53292838984162</v>
      </c>
      <c r="K22" s="3">
        <f t="shared" si="23"/>
        <v>88.520452102432259</v>
      </c>
      <c r="L22" s="3">
        <f t="shared" si="23"/>
        <v>273.07174411564637</v>
      </c>
      <c r="M22" s="3">
        <f t="shared" si="23"/>
        <v>22980.021291476871</v>
      </c>
      <c r="N22" s="3">
        <f t="shared" si="23"/>
        <v>668.08505643782496</v>
      </c>
      <c r="O22" s="3">
        <f t="shared" si="23"/>
        <v>413690</v>
      </c>
      <c r="P22" s="3">
        <f t="shared" si="23"/>
        <v>337660.65</v>
      </c>
      <c r="Q22" s="3">
        <f t="shared" si="23"/>
        <v>75.85162061222465</v>
      </c>
      <c r="R22" s="3">
        <f t="shared" si="23"/>
        <v>2223.7602069018608</v>
      </c>
      <c r="S22" s="3">
        <f t="shared" si="23"/>
        <v>4604.1475634008111</v>
      </c>
      <c r="T22" s="3">
        <f t="shared" si="23"/>
        <v>2.5845661997592444</v>
      </c>
      <c r="U22" s="3">
        <f t="shared" si="23"/>
        <v>2.1339369332087803</v>
      </c>
      <c r="V22" s="3">
        <f t="shared" si="23"/>
        <v>18.48</v>
      </c>
      <c r="W22" s="3">
        <f t="shared" si="23"/>
        <v>17.234999999999999</v>
      </c>
      <c r="X22" s="3">
        <f t="shared" si="23"/>
        <v>28.4</v>
      </c>
      <c r="Y22" s="3">
        <f t="shared" si="23"/>
        <v>8.3349999999999991</v>
      </c>
      <c r="Z22" s="3">
        <f t="shared" si="23"/>
        <v>7.1899999999999995</v>
      </c>
      <c r="AA22" s="3">
        <f t="shared" si="23"/>
        <v>10.844999999999999</v>
      </c>
      <c r="AB22" s="3">
        <f t="shared" si="23"/>
        <v>6.419999999999999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Romer</dc:creator>
  <cp:lastModifiedBy>Jakob Romer</cp:lastModifiedBy>
  <dcterms:created xsi:type="dcterms:W3CDTF">2025-12-08T19:07:06Z</dcterms:created>
  <dcterms:modified xsi:type="dcterms:W3CDTF">2026-01-02T18:55:38Z</dcterms:modified>
</cp:coreProperties>
</file>